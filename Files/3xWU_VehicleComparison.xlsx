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Comparison" sheetId="1" state="visible" r:id="rId1"/>
    <sheet xmlns:r="http://schemas.openxmlformats.org/officeDocument/2006/relationships" name="Score Your Own" sheetId="2" state="visible" r:id="rId2"/>
    <sheet xmlns:r="http://schemas.openxmlformats.org/officeDocument/2006/relationships" name="Scoring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EDD9A3"/>
      <sz val="15"/>
    </font>
    <font>
      <name val="Arial"/>
      <i val="1"/>
      <color rgb="00D4A96A"/>
      <sz val="9"/>
    </font>
    <font>
      <name val="Arial"/>
      <b val="1"/>
      <color rgb="00F5F2EC"/>
      <sz val="8.5"/>
    </font>
    <font>
      <name val="Arial"/>
      <color rgb="001A2626"/>
      <sz val="9"/>
    </font>
    <font>
      <name val="Arial"/>
      <color rgb="00728889"/>
      <sz val="8.5"/>
    </font>
    <font>
      <name val="Arial"/>
      <color rgb="001A2626"/>
      <sz val="8.5"/>
    </font>
    <font>
      <name val="Arial"/>
      <color rgb="001A2626"/>
      <sz val="10"/>
    </font>
    <font>
      <name val="Arial"/>
      <b val="1"/>
      <color rgb="000D3333"/>
      <sz val="10"/>
    </font>
    <font>
      <name val="Arial"/>
      <i val="1"/>
      <color rgb="001A2626"/>
      <sz val="8.5"/>
    </font>
    <font>
      <name val="Arial"/>
      <b val="1"/>
      <color rgb="001A9090"/>
      <sz val="9"/>
    </font>
    <font>
      <name val="Arial"/>
      <b val="1"/>
      <color rgb="001A9090"/>
      <sz val="8.5"/>
    </font>
    <font>
      <name val="Arial"/>
      <color rgb="00728889"/>
      <sz val="9"/>
    </font>
    <font>
      <name val="Arial"/>
      <i val="1"/>
      <color rgb="001A9090"/>
      <sz val="8.5"/>
    </font>
    <font>
      <name val="Arial"/>
      <color rgb="00728889"/>
      <sz val="8"/>
    </font>
    <font>
      <name val="Arial"/>
      <b val="1"/>
      <color rgb="00EDD9A3"/>
      <sz val="14"/>
    </font>
    <font>
      <name val="Arial"/>
      <b val="1"/>
      <color rgb="001A9090"/>
      <sz val="10"/>
    </font>
    <font>
      <name val="Arial"/>
      <b val="1"/>
      <color rgb="001A9090"/>
      <sz val="8"/>
    </font>
    <font>
      <name val="Arial"/>
      <i val="1"/>
      <color rgb="00728889"/>
      <sz val="8.5"/>
    </font>
    <font>
      <name val="Arial"/>
      <i val="1"/>
      <color rgb="00728889"/>
      <sz val="9"/>
    </font>
    <font>
      <name val="Arial"/>
      <b val="1"/>
      <color rgb="000D3333"/>
      <sz val="11"/>
    </font>
    <font>
      <name val="Arial"/>
      <b val="1"/>
      <color rgb="00F5F2EC"/>
      <sz val="9"/>
    </font>
    <font>
      <name val="Arial"/>
      <i val="1"/>
      <color rgb="001A2626"/>
      <sz val="9"/>
    </font>
    <font>
      <name val="Arial"/>
      <b val="1"/>
      <color rgb="00F5F2EC"/>
      <sz val="10"/>
    </font>
  </fonts>
  <fills count="12">
    <fill>
      <patternFill/>
    </fill>
    <fill>
      <patternFill patternType="gray125"/>
    </fill>
    <fill>
      <patternFill patternType="solid">
        <fgColor rgb="000D1515"/>
      </patternFill>
    </fill>
    <fill>
      <patternFill patternType="solid">
        <fgColor rgb="005AC8C8"/>
      </patternFill>
    </fill>
    <fill>
      <patternFill patternType="solid">
        <fgColor rgb="000D3333"/>
      </patternFill>
    </fill>
    <fill>
      <patternFill patternType="solid">
        <fgColor rgb="00FFFFFF"/>
      </patternFill>
    </fill>
    <fill>
      <patternFill patternType="solid">
        <fgColor rgb="00DDFAFA"/>
      </patternFill>
    </fill>
    <fill>
      <patternFill patternType="solid">
        <fgColor rgb="00EFF9F9"/>
      </patternFill>
    </fill>
    <fill>
      <patternFill patternType="solid">
        <fgColor rgb="00D0EAEA"/>
      </patternFill>
    </fill>
    <fill>
      <patternFill patternType="solid">
        <fgColor rgb="00D9F0F0"/>
      </patternFill>
    </fill>
    <fill>
      <patternFill patternType="solid">
        <fgColor rgb="00EBF8F8"/>
      </patternFill>
    </fill>
    <fill>
      <patternFill patternType="solid">
        <fgColor rgb="001A9090"/>
      </patternFill>
    </fill>
  </fills>
  <borders count="8">
    <border>
      <left/>
      <right/>
      <top/>
      <bottom/>
      <diagonal/>
    </border>
    <border>
      <left style="thin">
        <color rgb="00204040"/>
      </left>
      <right style="thin">
        <color rgb="00204040"/>
      </right>
      <top style="thin">
        <color rgb="00204040"/>
      </top>
      <bottom style="thin">
        <color rgb="00204040"/>
      </bottom>
    </border>
    <border>
      <left style="thin">
        <color rgb="00D0EAEA"/>
      </left>
      <right style="thin">
        <color rgb="00D0EAEA"/>
      </right>
      <top style="thin">
        <color rgb="00D0EAEA"/>
      </top>
      <bottom style="thin">
        <color rgb="00D0EAEA"/>
      </bottom>
    </border>
    <border>
      <left style="thin">
        <color rgb="001A9090"/>
      </left>
      <right style="thin">
        <color rgb="001A9090"/>
      </right>
      <top style="thin">
        <color rgb="001A9090"/>
      </top>
      <bottom style="thin">
        <color rgb="001A9090"/>
      </bottom>
    </border>
    <border>
      <left style="medium">
        <color rgb="001A9090"/>
      </left>
      <right style="thin">
        <color rgb="001A9090"/>
      </right>
      <top style="medium">
        <color rgb="001A9090"/>
      </top>
      <bottom style="medium">
        <color rgb="001A9090"/>
      </bottom>
    </border>
    <border>
      <left style="thin">
        <color rgb="001A9090"/>
      </left>
      <right style="thin">
        <color rgb="001A9090"/>
      </right>
      <top style="medium">
        <color rgb="001A9090"/>
      </top>
      <bottom style="medium">
        <color rgb="001A9090"/>
      </bottom>
    </border>
    <border>
      <left style="thin">
        <color rgb="001A9090"/>
      </left>
      <right style="medium">
        <color rgb="001A9090"/>
      </right>
      <top style="medium">
        <color rgb="001A9090"/>
      </top>
      <bottom style="medium">
        <color rgb="001A9090"/>
      </bottom>
    </border>
    <border>
      <left style="thin">
        <color rgb="00C0DFE0"/>
      </left>
      <right style="thin">
        <color rgb="00C0DFE0"/>
      </right>
      <top style="thin">
        <color rgb="00C0DFE0"/>
      </top>
      <bottom style="thin">
        <color rgb="00C0DFE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 wrapText="1"/>
    </xf>
    <xf numFmtId="0" fontId="10" fillId="9" borderId="4" applyAlignment="1" pivotButton="0" quotePrefix="0" xfId="0">
      <alignment horizontal="left" vertical="center" wrapText="1"/>
    </xf>
    <xf numFmtId="0" fontId="5" fillId="9" borderId="5" applyAlignment="1" pivotButton="0" quotePrefix="0" xfId="0">
      <alignment horizontal="left" vertical="center"/>
    </xf>
    <xf numFmtId="0" fontId="6" fillId="9" borderId="5" applyAlignment="1" pivotButton="0" quotePrefix="0" xfId="0">
      <alignment horizontal="center" vertical="center"/>
    </xf>
    <xf numFmtId="0" fontId="6" fillId="9" borderId="5" applyAlignment="1" pivotButton="0" quotePrefix="0" xfId="0">
      <alignment horizontal="left" vertical="center" wrapText="1"/>
    </xf>
    <xf numFmtId="0" fontId="7" fillId="9" borderId="5" applyAlignment="1" pivotButton="0" quotePrefix="0" xfId="0">
      <alignment horizontal="center" vertical="center"/>
    </xf>
    <xf numFmtId="0" fontId="8" fillId="9" borderId="5" applyAlignment="1" pivotButton="0" quotePrefix="0" xfId="0">
      <alignment horizontal="center" vertical="center"/>
    </xf>
    <xf numFmtId="0" fontId="11" fillId="9" borderId="5" applyAlignment="1" pivotButton="0" quotePrefix="0" xfId="0">
      <alignment horizontal="left" vertical="center" wrapText="1"/>
    </xf>
    <xf numFmtId="0" fontId="6" fillId="9" borderId="6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10" fillId="9" borderId="3" applyAlignment="1" pivotButton="0" quotePrefix="0" xfId="0">
      <alignment horizontal="left" vertical="center"/>
    </xf>
    <xf numFmtId="0" fontId="10" fillId="9" borderId="3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left" vertical="center" wrapText="1"/>
    </xf>
    <xf numFmtId="0" fontId="19" fillId="10" borderId="7" applyAlignment="1" pivotButton="0" quotePrefix="0" xfId="0">
      <alignment horizontal="left" vertical="center"/>
    </xf>
    <xf numFmtId="0" fontId="0" fillId="10" borderId="7" applyAlignment="1" pivotButton="0" quotePrefix="0" xfId="0">
      <alignment horizontal="left" vertical="center"/>
    </xf>
    <xf numFmtId="0" fontId="0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 vertical="center"/>
    </xf>
    <xf numFmtId="0" fontId="20" fillId="10" borderId="7" applyAlignment="1" pivotButton="0" quotePrefix="0" xfId="0">
      <alignment horizontal="center" vertical="center"/>
    </xf>
    <xf numFmtId="0" fontId="6" fillId="1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left" vertical="center" wrapText="1"/>
    </xf>
    <xf numFmtId="0" fontId="19" fillId="7" borderId="7" applyAlignment="1" pivotButton="0" quotePrefix="0" xfId="0">
      <alignment horizontal="left" vertical="center"/>
    </xf>
    <xf numFmtId="0" fontId="0" fillId="7" borderId="7" applyAlignment="1" pivotButton="0" quotePrefix="0" xfId="0">
      <alignment horizontal="left" vertical="center"/>
    </xf>
    <xf numFmtId="0" fontId="0" fillId="7" borderId="7" applyAlignment="1" pivotButton="0" quotePrefix="0" xfId="0">
      <alignment horizontal="center" vertical="center"/>
    </xf>
    <xf numFmtId="0" fontId="7" fillId="7" borderId="7" applyAlignment="1" pivotButton="0" quotePrefix="0" xfId="0">
      <alignment horizontal="center" vertical="center"/>
    </xf>
    <xf numFmtId="0" fontId="20" fillId="7" borderId="7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center" wrapText="1"/>
    </xf>
    <xf numFmtId="0" fontId="0" fillId="7" borderId="7" applyAlignment="1" pivotButton="0" quotePrefix="0" xfId="0">
      <alignment horizontal="left" vertical="center" wrapText="1"/>
    </xf>
    <xf numFmtId="0" fontId="21" fillId="4" borderId="0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22" fillId="5" borderId="2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3" fillId="11" borderId="3" applyAlignment="1" pivotButton="0" quotePrefix="0" xfId="0">
      <alignment horizontal="left" vertical="center"/>
    </xf>
    <xf numFmtId="0" fontId="23" fillId="11" borderId="3" applyAlignment="1" pivotButton="0" quotePrefix="0" xfId="0">
      <alignment horizontal="center" vertical="center"/>
    </xf>
    <xf numFmtId="0" fontId="0" fillId="11" borderId="3" pivotButton="0" quotePrefix="0" xfId="0"/>
    <xf numFmtId="0" fontId="0" fillId="7" borderId="2" pivotButton="0" quotePrefix="0" xfId="0"/>
    <xf numFmtId="0" fontId="10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0" fillId="5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4EFD4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9090"/>
    <outlinePr summaryBelow="1" summaryRight="1"/>
    <pageSetUpPr/>
  </sheetPr>
  <dimension ref="A1:P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28" customWidth="1" min="16" max="16"/>
  </cols>
  <sheetData>
    <row r="1" ht="36" customHeight="1">
      <c r="A1" s="1" t="inlineStr">
        <is>
          <t>3xploreWithUs  ·  Vehicle Comparison Tool</t>
        </is>
      </c>
    </row>
    <row r="2" ht="20" customHeight="1">
      <c r="A2" s="2" t="inlineStr">
        <is>
          <t>Score each vehicle out of 100 across 5 dimensions — then compare side by side. Adjust scores to match YOUR mission.</t>
        </is>
      </c>
    </row>
    <row r="3" ht="5" customHeight="1">
      <c r="A3" s="3" t="n"/>
    </row>
    <row r="4" ht="48" customHeight="1">
      <c r="A4" s="4" t="inlineStr">
        <is>
          <t>Vehicle / Setup</t>
        </is>
      </c>
      <c r="B4" s="4" t="inlineStr">
        <is>
          <t>Category</t>
        </is>
      </c>
      <c r="C4" s="4" t="inlineStr">
        <is>
          <t>Purchase Price
(typical)</t>
        </is>
      </c>
      <c r="D4" s="4" t="inlineStr">
        <is>
          <t>Build Cost
(typical)</t>
        </is>
      </c>
      <c r="E4" s="4" t="inlineStr">
        <is>
          <t>Total Investment
(approx.)</t>
        </is>
      </c>
      <c r="F4" s="4" t="inlineStr">
        <is>
          <t>Payload
(approx.)</t>
        </is>
      </c>
      <c r="G4" s="4" t="inlineStr">
        <is>
          <t>Ground
Clearance</t>
        </is>
      </c>
      <c r="H4" s="4" t="inlineStr">
        <is>
          <t>Fuel Economy
(avg loaded)</t>
        </is>
      </c>
      <c r="I4" s="4" t="inlineStr">
        <is>
          <t>Capability
/30</t>
        </is>
      </c>
      <c r="J4" s="4" t="inlineStr">
        <is>
          <t>Livability
/25</t>
        </is>
      </c>
      <c r="K4" s="4" t="inlineStr">
        <is>
          <t>Reliability &amp;
Maint. /20</t>
        </is>
      </c>
      <c r="L4" s="4" t="inlineStr">
        <is>
          <t>Cost of
Ownership /15</t>
        </is>
      </c>
      <c r="M4" s="4" t="inlineStr">
        <is>
          <t>Resale /
Flexibility /10</t>
        </is>
      </c>
      <c r="N4" s="4" t="inlineStr">
        <is>
          <t>TOTAL
/100</t>
        </is>
      </c>
      <c r="O4" s="4" t="inlineStr">
        <is>
          <t>Our Verdict</t>
        </is>
      </c>
      <c r="P4" s="4" t="inlineStr">
        <is>
          <t>Notes</t>
        </is>
      </c>
    </row>
    <row r="5" ht="36" customHeight="1">
      <c r="A5" s="5" t="inlineStr">
        <is>
          <t>Toyota Land Cruiser Troopie (HZJ 78/79)</t>
        </is>
      </c>
      <c r="B5" s="6" t="inlineStr">
        <is>
          <t>Iconic 4×4</t>
        </is>
      </c>
      <c r="C5" s="7" t="inlineStr">
        <is>
          <t>€20k–45k</t>
        </is>
      </c>
      <c r="D5" s="7" t="inlineStr">
        <is>
          <t>€15k–35k</t>
        </is>
      </c>
      <c r="E5" s="7" t="inlineStr">
        <is>
          <t>€40k–75k</t>
        </is>
      </c>
      <c r="F5" s="8" t="inlineStr">
        <is>
          <t>1,000–1,400 kg</t>
        </is>
      </c>
      <c r="G5" s="8" t="inlineStr">
        <is>
          <t>230–300 mm</t>
        </is>
      </c>
      <c r="H5" s="8" t="inlineStr">
        <is>
          <t>11–15 L/100km</t>
        </is>
      </c>
      <c r="I5" s="9" t="n">
        <v>23</v>
      </c>
      <c r="J5" s="9" t="n">
        <v>17</v>
      </c>
      <c r="K5" s="9" t="n">
        <v>19</v>
      </c>
      <c r="L5" s="9" t="n">
        <v>13</v>
      </c>
      <c r="M5" s="9" t="n">
        <v>10</v>
      </c>
      <c r="N5" s="10">
        <f>SUM(I5:M5)</f>
        <v/>
      </c>
      <c r="O5" s="11" t="inlineStr">
        <is>
          <t>Excellent starting point</t>
        </is>
      </c>
      <c r="P5" s="8" t="inlineStr">
        <is>
          <t>King of parts &amp; reliability. Best entry for most people. Huge global community.</t>
        </is>
      </c>
    </row>
    <row r="6" ht="36" customHeight="1">
      <c r="A6" s="12" t="inlineStr">
        <is>
          <t>Land Rover Defender 130</t>
        </is>
      </c>
      <c r="B6" s="13" t="inlineStr">
        <is>
          <t>Iconic 4×4</t>
        </is>
      </c>
      <c r="C6" s="14" t="inlineStr">
        <is>
          <t>€25k–50k</t>
        </is>
      </c>
      <c r="D6" s="14" t="inlineStr">
        <is>
          <t>€20k–40k</t>
        </is>
      </c>
      <c r="E6" s="14" t="inlineStr">
        <is>
          <t>€50k–85k</t>
        </is>
      </c>
      <c r="F6" s="15" t="inlineStr">
        <is>
          <t>1,000–1,300 kg</t>
        </is>
      </c>
      <c r="G6" s="15" t="inlineStr">
        <is>
          <t>250–300 mm</t>
        </is>
      </c>
      <c r="H6" s="15" t="inlineStr">
        <is>
          <t>12–16 L/100km</t>
        </is>
      </c>
      <c r="I6" s="16" t="n">
        <v>25</v>
      </c>
      <c r="J6" s="16" t="n">
        <v>18</v>
      </c>
      <c r="K6" s="16" t="n">
        <v>13</v>
      </c>
      <c r="L6" s="16" t="n">
        <v>10</v>
      </c>
      <c r="M6" s="16" t="n">
        <v>9</v>
      </c>
      <c r="N6" s="17">
        <f>SUM(I6:M6)</f>
        <v/>
      </c>
      <c r="O6" s="18" t="inlineStr">
        <is>
          <t>Great but check maintenance history</t>
        </is>
      </c>
      <c r="P6" s="15" t="inlineStr">
        <is>
          <t>Iconic look — but reliability can bite hard, especially later models.</t>
        </is>
      </c>
    </row>
    <row r="7" ht="36" customHeight="1">
      <c r="A7" s="5" t="inlineStr">
        <is>
          <t>Mercedes Sprinter 4×4 Camper</t>
        </is>
      </c>
      <c r="B7" s="6" t="inlineStr">
        <is>
          <t>4×4 Van</t>
        </is>
      </c>
      <c r="C7" s="7" t="inlineStr">
        <is>
          <t>€35k–70k</t>
        </is>
      </c>
      <c r="D7" s="7" t="inlineStr">
        <is>
          <t>€10k–30k</t>
        </is>
      </c>
      <c r="E7" s="7" t="inlineStr">
        <is>
          <t>€50k–95k</t>
        </is>
      </c>
      <c r="F7" s="8" t="inlineStr">
        <is>
          <t>800–1,300 kg</t>
        </is>
      </c>
      <c r="G7" s="8" t="inlineStr">
        <is>
          <t>150–220 mm</t>
        </is>
      </c>
      <c r="H7" s="8" t="inlineStr">
        <is>
          <t>9–13 L/100km</t>
        </is>
      </c>
      <c r="I7" s="9" t="n">
        <v>19</v>
      </c>
      <c r="J7" s="9" t="n">
        <v>23</v>
      </c>
      <c r="K7" s="9" t="n">
        <v>17</v>
      </c>
      <c r="L7" s="9" t="n">
        <v>12</v>
      </c>
      <c r="M7" s="9" t="n">
        <v>9</v>
      </c>
      <c r="N7" s="10">
        <f>SUM(I7:M7)</f>
        <v/>
      </c>
      <c r="O7" s="11" t="inlineStr">
        <is>
          <t>Ideal for Europe, light touring</t>
        </is>
      </c>
      <c r="P7" s="8" t="inlineStr">
        <is>
          <t>Comfortable daily driver. Limited serious expedition use. Great city + gravel option.</t>
        </is>
      </c>
    </row>
    <row r="8" ht="36" customHeight="1">
      <c r="A8" s="19" t="inlineStr">
        <is>
          <t>★  Steyr 12M18 + FM2 Zeppelin  ★</t>
        </is>
      </c>
      <c r="B8" s="20" t="inlineStr">
        <is>
          <t>Light/Medium Truck</t>
        </is>
      </c>
      <c r="C8" s="21" t="inlineStr">
        <is>
          <t>€18k–40k</t>
        </is>
      </c>
      <c r="D8" s="21" t="inlineStr">
        <is>
          <t>€20k–40k</t>
        </is>
      </c>
      <c r="E8" s="21" t="inlineStr">
        <is>
          <t>€45k–80k</t>
        </is>
      </c>
      <c r="F8" s="22" t="inlineStr">
        <is>
          <t>2,500–3,500+ kg</t>
        </is>
      </c>
      <c r="G8" s="22" t="inlineStr">
        <is>
          <t>Excellent (high portal)</t>
        </is>
      </c>
      <c r="H8" s="22" t="inlineStr">
        <is>
          <t>15–20 L/100km</t>
        </is>
      </c>
      <c r="I8" s="23" t="n">
        <v>28</v>
      </c>
      <c r="J8" s="23" t="n">
        <v>23</v>
      </c>
      <c r="K8" s="23" t="n">
        <v>18</v>
      </c>
      <c r="L8" s="23" t="n">
        <v>11</v>
      </c>
      <c r="M8" s="23" t="n">
        <v>8</v>
      </c>
      <c r="N8" s="24">
        <f>SUM(I8:M8)</f>
        <v/>
      </c>
      <c r="O8" s="25" t="inlineStr">
        <is>
          <t>Our rig — outstanding balance</t>
        </is>
      </c>
      <c r="P8" s="26" t="inlineStr">
        <is>
          <t>Best-in-class balance of capability, livability &amp; build cost. Our home since 2022. Proven in snow, mud, remote.</t>
        </is>
      </c>
    </row>
    <row r="9" ht="36" customHeight="1">
      <c r="A9" s="5" t="inlineStr">
        <is>
          <t>Unimog 435</t>
        </is>
      </c>
      <c r="B9" s="6" t="inlineStr">
        <is>
          <t>Light/Medium Truck</t>
        </is>
      </c>
      <c r="C9" s="7" t="inlineStr">
        <is>
          <t>€25k–60k</t>
        </is>
      </c>
      <c r="D9" s="7" t="inlineStr">
        <is>
          <t>€25k–50k</t>
        </is>
      </c>
      <c r="E9" s="7" t="inlineStr">
        <is>
          <t>€60k–110k</t>
        </is>
      </c>
      <c r="F9" s="8" t="inlineStr">
        <is>
          <t>2,500–4,000 kg</t>
        </is>
      </c>
      <c r="G9" s="8" t="inlineStr">
        <is>
          <t>440 mm</t>
        </is>
      </c>
      <c r="H9" s="8" t="inlineStr">
        <is>
          <t>17–22 L/100km</t>
        </is>
      </c>
      <c r="I9" s="9" t="n">
        <v>29</v>
      </c>
      <c r="J9" s="9" t="n">
        <v>20</v>
      </c>
      <c r="K9" s="9" t="n">
        <v>17</v>
      </c>
      <c r="L9" s="9" t="n">
        <v>9</v>
      </c>
      <c r="M9" s="9" t="n">
        <v>7</v>
      </c>
      <c r="N9" s="10">
        <f>SUM(I9:M9)</f>
        <v/>
      </c>
      <c r="O9" s="11" t="inlineStr">
        <is>
          <t>Legendary off-road, specialised</t>
        </is>
      </c>
      <c r="P9" s="8" t="inlineStr">
        <is>
          <t>Best off-road capability in class. Very thirsty. Specialist parts. Not a casual choice.</t>
        </is>
      </c>
    </row>
    <row r="10" ht="36" customHeight="1">
      <c r="A10" s="12" t="inlineStr">
        <is>
          <t>Ex-Military MAN / Volvo 4×4</t>
        </is>
      </c>
      <c r="B10" s="13" t="inlineStr">
        <is>
          <t>Heavy Military</t>
        </is>
      </c>
      <c r="C10" s="14" t="inlineStr">
        <is>
          <t>€20k–45k</t>
        </is>
      </c>
      <c r="D10" s="14" t="inlineStr">
        <is>
          <t>€25k–50k</t>
        </is>
      </c>
      <c r="E10" s="14" t="inlineStr">
        <is>
          <t>€55k–90k</t>
        </is>
      </c>
      <c r="F10" s="15" t="inlineStr">
        <is>
          <t>3,500–5,000+ kg</t>
        </is>
      </c>
      <c r="G10" s="15" t="inlineStr">
        <is>
          <t>Extreme</t>
        </is>
      </c>
      <c r="H10" s="15" t="inlineStr">
        <is>
          <t>18–25 L/100km</t>
        </is>
      </c>
      <c r="I10" s="16" t="n">
        <v>27</v>
      </c>
      <c r="J10" s="16" t="n">
        <v>19</v>
      </c>
      <c r="K10" s="16" t="n">
        <v>16</v>
      </c>
      <c r="L10" s="16" t="n">
        <v>8</v>
      </c>
      <c r="M10" s="16" t="n">
        <v>6</v>
      </c>
      <c r="N10" s="17">
        <f>SUM(I10:M10)</f>
        <v/>
      </c>
      <c r="O10" s="18" t="inlineStr">
        <is>
          <t>Extreme conditions only</t>
        </is>
      </c>
      <c r="P10" s="15" t="inlineStr">
        <is>
          <t>Bulletproof but heavy, thirsty, harder to register in some countries.</t>
        </is>
      </c>
    </row>
    <row r="11" ht="36" customHeight="1">
      <c r="A11" s="5" t="inlineStr">
        <is>
          <t>Pickup + Slide-On Camper</t>
        </is>
      </c>
      <c r="B11" s="6" t="inlineStr">
        <is>
          <t>Pickup</t>
        </is>
      </c>
      <c r="C11" s="7" t="inlineStr">
        <is>
          <t>€25k–55k</t>
        </is>
      </c>
      <c r="D11" s="7" t="inlineStr">
        <is>
          <t>€15k–35k</t>
        </is>
      </c>
      <c r="E11" s="7" t="inlineStr">
        <is>
          <t>€45k–85k</t>
        </is>
      </c>
      <c r="F11" s="8" t="inlineStr">
        <is>
          <t>800–1,500 kg</t>
        </is>
      </c>
      <c r="G11" s="8" t="inlineStr">
        <is>
          <t>200–280 mm</t>
        </is>
      </c>
      <c r="H11" s="8" t="inlineStr">
        <is>
          <t>12–18 L/100km</t>
        </is>
      </c>
      <c r="I11" s="9" t="n">
        <v>21</v>
      </c>
      <c r="J11" s="9" t="n">
        <v>18</v>
      </c>
      <c r="K11" s="9" t="n">
        <v>16</v>
      </c>
      <c r="L11" s="9" t="n">
        <v>12</v>
      </c>
      <c r="M11" s="9" t="n">
        <v>9</v>
      </c>
      <c r="N11" s="10">
        <f>SUM(I11:M11)</f>
        <v/>
      </c>
      <c r="O11" s="11" t="inlineStr">
        <is>
          <t>Good North America / light off-road</t>
        </is>
      </c>
      <c r="P11" s="8" t="inlineStr">
        <is>
          <t>Versatile and easier to sell. Less ideal for long-term full-time living.</t>
        </is>
      </c>
    </row>
    <row r="12" ht="36" customHeight="1">
      <c r="A12" s="12" t="inlineStr">
        <is>
          <t>Custom Built (any base)</t>
        </is>
      </c>
      <c r="B12" s="13" t="inlineStr">
        <is>
          <t>Custom</t>
        </is>
      </c>
      <c r="C12" s="14" t="inlineStr">
        <is>
          <t>Varies</t>
        </is>
      </c>
      <c r="D12" s="14" t="inlineStr">
        <is>
          <t>Varies</t>
        </is>
      </c>
      <c r="E12" s="14" t="inlineStr">
        <is>
          <t>Varies</t>
        </is>
      </c>
      <c r="F12" s="15" t="inlineStr">
        <is>
          <t>Depends on base</t>
        </is>
      </c>
      <c r="G12" s="15" t="inlineStr">
        <is>
          <t>Depends on build</t>
        </is>
      </c>
      <c r="H12" s="15" t="inlineStr">
        <is>
          <t>Depends on base</t>
        </is>
      </c>
      <c r="I12" s="27" t="inlineStr">
        <is>
          <t>—</t>
        </is>
      </c>
      <c r="J12" s="27" t="inlineStr">
        <is>
          <t>—</t>
        </is>
      </c>
      <c r="K12" s="27" t="inlineStr">
        <is>
          <t>—</t>
        </is>
      </c>
      <c r="L12" s="27" t="inlineStr">
        <is>
          <t>—</t>
        </is>
      </c>
      <c r="M12" s="27" t="inlineStr">
        <is>
          <t>—</t>
        </is>
      </c>
      <c r="N12" s="27" t="inlineStr">
        <is>
          <t>—</t>
        </is>
      </c>
      <c r="O12" s="18" t="inlineStr">
        <is>
          <t>Worth it — if done right</t>
        </is>
      </c>
      <c r="P12" s="15" t="inlineStr">
        <is>
          <t>Tailored exactly to you. Plan for 1.5–2× your original budget and double your timeline.</t>
        </is>
      </c>
    </row>
    <row r="14" ht="30" customHeight="1">
      <c r="A14" s="28" t="inlineStr">
        <is>
          <t>⚑  Scores are general benchmarks. A Troopie may score 90+ for a solo 6-month tripper but drop for a full-time family with heavy gear. Always score vehicles against YOUR specific mission profile — use the "Score Your Own" sheet.</t>
        </is>
      </c>
    </row>
    <row r="15">
      <c r="A15" s="29" t="inlineStr">
        <is>
          <t>© 2026 3xploreWithUs — www.3xplorewithus.com — Free to share, not for commercial resale.</t>
        </is>
      </c>
    </row>
  </sheetData>
  <mergeCells count="5">
    <mergeCell ref="A14:P14"/>
    <mergeCell ref="A1:P1"/>
    <mergeCell ref="A3:P3"/>
    <mergeCell ref="A15:P15"/>
    <mergeCell ref="A2:P2"/>
  </mergeCells>
  <conditionalFormatting sqref="N5:N12">
    <cfRule type="colorScale" priority="1">
      <colorScale>
        <cfvo type="num" val="50"/>
        <cfvo type="num" val="75"/>
        <cfvo type="num" val="95"/>
        <color rgb="00F4CCCC"/>
        <color rgb="00FFF2CC"/>
        <color rgb="00D0EAE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96A"/>
    <outlinePr summaryBelow="1" summaryRight="1"/>
    <pageSetUpPr/>
  </sheetPr>
  <dimension ref="A1:N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5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4" customWidth="1" min="13" max="13"/>
    <col width="30" customWidth="1" min="14" max="14"/>
  </cols>
  <sheetData>
    <row r="1" ht="36" customHeight="1">
      <c r="A1" s="30" t="inlineStr">
        <is>
          <t>3xploreWithUs  ·  Score Your Own Vehicle Candidates</t>
        </is>
      </c>
    </row>
    <row r="2" ht="20" customHeight="1">
      <c r="A2" s="2" t="inlineStr">
        <is>
          <t>Enter up to 5 candidates. Score each dimension honestly against your specific mission. The totals update automatically.</t>
        </is>
      </c>
    </row>
    <row r="3" ht="5" customHeight="1">
      <c r="A3" s="3" t="n"/>
    </row>
    <row r="4" ht="44" customHeight="1">
      <c r="A4" s="4" t="inlineStr">
        <is>
          <t>VEHICLE NAME (enter your candidates below)</t>
        </is>
      </c>
      <c r="B4" s="4" t="inlineStr">
        <is>
          <t>Category</t>
        </is>
      </c>
      <c r="C4" s="4" t="inlineStr">
        <is>
          <t>Purchase
Price</t>
        </is>
      </c>
      <c r="D4" s="4" t="inlineStr">
        <is>
          <t>Build
Cost Est.</t>
        </is>
      </c>
      <c r="E4" s="4" t="inlineStr">
        <is>
          <t>Total
Investment</t>
        </is>
      </c>
      <c r="F4" s="4" t="inlineStr">
        <is>
          <t>Capability
(max 30)</t>
        </is>
      </c>
      <c r="G4" s="4" t="inlineStr">
        <is>
          <t>Livability
(max 25)</t>
        </is>
      </c>
      <c r="H4" s="4" t="inlineStr">
        <is>
          <t>Reliability
&amp; Maint. /20</t>
        </is>
      </c>
      <c r="I4" s="4" t="inlineStr">
        <is>
          <t>Cost of
Ownership /15</t>
        </is>
      </c>
      <c r="J4" s="4" t="inlineStr">
        <is>
          <t>Resale /
Flex. /10</t>
        </is>
      </c>
      <c r="K4" s="4" t="inlineStr">
        <is>
          <t>TOTAL
/100</t>
        </is>
      </c>
      <c r="L4" s="4" t="inlineStr">
        <is>
          <t>vs. Steyr
(benchmark)</t>
        </is>
      </c>
      <c r="M4" s="4" t="inlineStr">
        <is>
          <t>Recommendation
flag</t>
        </is>
      </c>
      <c r="N4" s="4" t="inlineStr">
        <is>
          <t>Notes / Comments</t>
        </is>
      </c>
    </row>
    <row r="5" ht="28" customHeight="1">
      <c r="A5" s="31" t="inlineStr">
        <is>
          <t>★  Steyr 12M18 (benchmark)</t>
        </is>
      </c>
      <c r="B5" s="31" t="inlineStr">
        <is>
          <t>Light/Medium Truck</t>
        </is>
      </c>
      <c r="C5" s="31" t="inlineStr">
        <is>
          <t>€18k–40k</t>
        </is>
      </c>
      <c r="D5" s="31" t="inlineStr">
        <is>
          <t>€20k–40k</t>
        </is>
      </c>
      <c r="E5" s="31" t="inlineStr">
        <is>
          <t>€45k–80k</t>
        </is>
      </c>
      <c r="F5" s="32" t="n">
        <v>28</v>
      </c>
      <c r="G5" s="32" t="n">
        <v>23</v>
      </c>
      <c r="H5" s="32" t="n">
        <v>18</v>
      </c>
      <c r="I5" s="32" t="n">
        <v>11</v>
      </c>
      <c r="J5" s="32" t="n">
        <v>8</v>
      </c>
      <c r="K5" s="33">
        <f>SUM(F5:J5)</f>
        <v/>
      </c>
      <c r="L5" s="34" t="inlineStr">
        <is>
          <t>—</t>
        </is>
      </c>
      <c r="M5" s="35" t="inlineStr">
        <is>
          <t>BENCHMARK</t>
        </is>
      </c>
      <c r="N5" s="36" t="inlineStr">
        <is>
          <t>Your reference point. Change scores to reflect your own assessment.</t>
        </is>
      </c>
    </row>
    <row r="6" ht="32" customHeight="1">
      <c r="A6" s="37" t="inlineStr">
        <is>
          <t>Candidate 1 — enter vehicle name here</t>
        </is>
      </c>
      <c r="B6" s="38" t="n"/>
      <c r="C6" s="39" t="n"/>
      <c r="D6" s="39" t="n"/>
      <c r="E6" s="39" t="n"/>
      <c r="F6" s="40" t="n">
        <v>0</v>
      </c>
      <c r="G6" s="40" t="n">
        <v>0</v>
      </c>
      <c r="H6" s="40" t="n">
        <v>0</v>
      </c>
      <c r="I6" s="40" t="n">
        <v>0</v>
      </c>
      <c r="J6" s="40" t="n">
        <v>0</v>
      </c>
      <c r="K6" s="41">
        <f>SUM(F6:J6)</f>
        <v/>
      </c>
      <c r="L6" s="40">
        <f>K6-K5</f>
        <v/>
      </c>
      <c r="M6" s="42">
        <f>IF(K6=0,"",IF(K6&gt;=85,"✅ Strong choice",IF(K6&gt;=70,"✦ Good candidate",IF(K6&gt;=55,"⚠ Review carefully","✗ Likely a pass"))))</f>
        <v/>
      </c>
      <c r="N6" s="43" t="n"/>
    </row>
    <row r="7" ht="32" customHeight="1">
      <c r="A7" s="44" t="inlineStr">
        <is>
          <t>Candidate 2 — enter vehicle name here</t>
        </is>
      </c>
      <c r="B7" s="45" t="n"/>
      <c r="C7" s="46" t="n"/>
      <c r="D7" s="46" t="n"/>
      <c r="E7" s="46" t="n"/>
      <c r="F7" s="47" t="n">
        <v>0</v>
      </c>
      <c r="G7" s="47" t="n">
        <v>0</v>
      </c>
      <c r="H7" s="47" t="n">
        <v>0</v>
      </c>
      <c r="I7" s="47" t="n">
        <v>0</v>
      </c>
      <c r="J7" s="47" t="n">
        <v>0</v>
      </c>
      <c r="K7" s="48">
        <f>SUM(F7:J7)</f>
        <v/>
      </c>
      <c r="L7" s="47">
        <f>K7-K5</f>
        <v/>
      </c>
      <c r="M7" s="49">
        <f>IF(K7=0,"",IF(K7&gt;=85,"✅ Strong choice",IF(K7&gt;=70,"✦ Good candidate",IF(K7&gt;=55,"⚠ Review carefully","✗ Likely a pass"))))</f>
        <v/>
      </c>
      <c r="N7" s="50" t="n"/>
    </row>
    <row r="8" ht="32" customHeight="1">
      <c r="A8" s="37" t="inlineStr">
        <is>
          <t>Candidate 3 — enter vehicle name here</t>
        </is>
      </c>
      <c r="B8" s="38" t="n"/>
      <c r="C8" s="39" t="n"/>
      <c r="D8" s="39" t="n"/>
      <c r="E8" s="39" t="n"/>
      <c r="F8" s="40" t="n">
        <v>0</v>
      </c>
      <c r="G8" s="40" t="n">
        <v>0</v>
      </c>
      <c r="H8" s="40" t="n">
        <v>0</v>
      </c>
      <c r="I8" s="40" t="n">
        <v>0</v>
      </c>
      <c r="J8" s="40" t="n">
        <v>0</v>
      </c>
      <c r="K8" s="41">
        <f>SUM(F8:J8)</f>
        <v/>
      </c>
      <c r="L8" s="40">
        <f>K8-K5</f>
        <v/>
      </c>
      <c r="M8" s="42">
        <f>IF(K8=0,"",IF(K8&gt;=85,"✅ Strong choice",IF(K8&gt;=70,"✦ Good candidate",IF(K8&gt;=55,"⚠ Review carefully","✗ Likely a pass"))))</f>
        <v/>
      </c>
      <c r="N8" s="43" t="n"/>
    </row>
    <row r="9" ht="32" customHeight="1">
      <c r="A9" s="44" t="inlineStr">
        <is>
          <t>Candidate 4 — enter vehicle name here</t>
        </is>
      </c>
      <c r="B9" s="45" t="n"/>
      <c r="C9" s="46" t="n"/>
      <c r="D9" s="46" t="n"/>
      <c r="E9" s="46" t="n"/>
      <c r="F9" s="47" t="n">
        <v>0</v>
      </c>
      <c r="G9" s="47" t="n">
        <v>0</v>
      </c>
      <c r="H9" s="47" t="n">
        <v>0</v>
      </c>
      <c r="I9" s="47" t="n">
        <v>0</v>
      </c>
      <c r="J9" s="47" t="n">
        <v>0</v>
      </c>
      <c r="K9" s="48">
        <f>SUM(F9:J9)</f>
        <v/>
      </c>
      <c r="L9" s="47">
        <f>K9-K5</f>
        <v/>
      </c>
      <c r="M9" s="49">
        <f>IF(K9=0,"",IF(K9&gt;=85,"✅ Strong choice",IF(K9&gt;=70,"✦ Good candidate",IF(K9&gt;=55,"⚠ Review carefully","✗ Likely a pass"))))</f>
        <v/>
      </c>
      <c r="N9" s="50" t="n"/>
    </row>
    <row r="10" ht="32" customHeight="1">
      <c r="A10" s="37" t="inlineStr">
        <is>
          <t>Candidate 5 — enter vehicle name here</t>
        </is>
      </c>
      <c r="B10" s="38" t="n"/>
      <c r="C10" s="39" t="n"/>
      <c r="D10" s="39" t="n"/>
      <c r="E10" s="39" t="n"/>
      <c r="F10" s="40" t="n">
        <v>0</v>
      </c>
      <c r="G10" s="40" t="n">
        <v>0</v>
      </c>
      <c r="H10" s="40" t="n">
        <v>0</v>
      </c>
      <c r="I10" s="40" t="n">
        <v>0</v>
      </c>
      <c r="J10" s="40" t="n">
        <v>0</v>
      </c>
      <c r="K10" s="41">
        <f>SUM(F10:J10)</f>
        <v/>
      </c>
      <c r="L10" s="40">
        <f>K10-K5</f>
        <v/>
      </c>
      <c r="M10" s="42">
        <f>IF(K10=0,"",IF(K10&gt;=85,"✅ Strong choice",IF(K10&gt;=70,"✦ Good candidate",IF(K10&gt;=55,"⚠ Review carefully","✗ Likely a pass"))))</f>
        <v/>
      </c>
      <c r="N10" s="43" t="n"/>
    </row>
    <row r="13" ht="20" customHeight="1">
      <c r="A13" s="51" t="inlineStr">
        <is>
          <t>HOW TO USE THIS SHEET</t>
        </is>
      </c>
    </row>
    <row r="14" ht="26" customHeight="1">
      <c r="A14" s="52" t="inlineStr">
        <is>
          <t>Step 1</t>
        </is>
      </c>
      <c r="B14" s="12" t="inlineStr">
        <is>
          <t>Replace the "Candidate" labels in column A with your actual vehicle names and categories.</t>
        </is>
      </c>
    </row>
    <row r="15" ht="26" customHeight="1">
      <c r="A15" s="52" t="inlineStr">
        <is>
          <t>Step 2</t>
        </is>
      </c>
      <c r="B15" s="5" t="inlineStr">
        <is>
          <t>Fill in purchase price, estimated build cost, and total investment in columns C–E.</t>
        </is>
      </c>
    </row>
    <row r="16" ht="26" customHeight="1">
      <c r="A16" s="52" t="inlineStr">
        <is>
          <t>Step 3</t>
        </is>
      </c>
      <c r="B16" s="12" t="inlineStr">
        <is>
          <t>Score each candidate honestly in columns F–J using the Scoring Guide sheet. Score against YOUR mission — not in the abstract.</t>
        </is>
      </c>
    </row>
    <row r="17" ht="26" customHeight="1">
      <c r="A17" s="52" t="inlineStr">
        <is>
          <t>Step 4</t>
        </is>
      </c>
      <c r="B17" s="5" t="inlineStr">
        <is>
          <t>The total (column K) updates automatically. The flag in column M gives an instant read.</t>
        </is>
      </c>
    </row>
    <row r="18" ht="26" customHeight="1">
      <c r="A18" s="52" t="inlineStr">
        <is>
          <t>Step 5</t>
        </is>
      </c>
      <c r="B18" s="12" t="inlineStr">
        <is>
          <t>Compare your scores to the Steyr benchmark row (row 5). The "vs. Steyr" column shows how each candidate stacks up against our rig.</t>
        </is>
      </c>
    </row>
    <row r="19" ht="26" customHeight="1">
      <c r="A19" s="52" t="inlineStr">
        <is>
          <t>Tip</t>
        </is>
      </c>
      <c r="B19" s="53" t="inlineStr">
        <is>
          <t>A vehicle scoring below 60/100 for your mission should be a hard pass, regardless of price or how good it looks in photos.</t>
        </is>
      </c>
    </row>
    <row r="21">
      <c r="A21" s="54" t="inlineStr">
        <is>
          <t>© 2026 3xploreWithUs — www.3xplorewithus.com — Free to share, not for commercial resale.</t>
        </is>
      </c>
    </row>
  </sheetData>
  <mergeCells count="11">
    <mergeCell ref="B16:N16"/>
    <mergeCell ref="B14:N14"/>
    <mergeCell ref="A3:N3"/>
    <mergeCell ref="A21:N21"/>
    <mergeCell ref="A2:N2"/>
    <mergeCell ref="B17:N17"/>
    <mergeCell ref="B18:N18"/>
    <mergeCell ref="B19:N19"/>
    <mergeCell ref="B15:N15"/>
    <mergeCell ref="A13:N13"/>
    <mergeCell ref="A1:N1"/>
  </mergeCells>
  <conditionalFormatting sqref="L6:L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6:K10">
    <cfRule type="colorScale" priority="3">
      <colorScale>
        <cfvo type="num" val="40"/>
        <cfvo type="num" val="70"/>
        <cfvo type="num" val="90"/>
        <color rgb="00F4CCCC"/>
        <color rgb="00FFF2CC"/>
        <color rgb="00D0EAEA"/>
      </colorScale>
    </cfRule>
  </conditionalFormatting>
  <dataValidations count="5">
    <dataValidation sqref="F6:F10" showDropDown="0" showInputMessage="0" showErrorMessage="0" allowBlank="0" errorTitle="Capability score" error="Enter 0–30" promptTitle="Capability (max 30)" prompt="Score 0–30" type="whole" operator="between">
      <formula1>0</formula1>
      <formula2>30</formula2>
    </dataValidation>
    <dataValidation sqref="G6:G10" showDropDown="0" showInputMessage="0" showErrorMessage="0" allowBlank="0" errorTitle="Livability score" error="Enter 0–25" promptTitle="Livability (max 25)" prompt="Score 0–25" type="whole" operator="between">
      <formula1>0</formula1>
      <formula2>25</formula2>
    </dataValidation>
    <dataValidation sqref="H6:H10" showDropDown="0" showInputMessage="0" showErrorMessage="0" allowBlank="0" errorTitle="Reliability score" error="Enter 0–20" promptTitle="Reliability (max 20)" prompt="Score 0–20" type="whole" operator="between">
      <formula1>0</formula1>
      <formula2>20</formula2>
    </dataValidation>
    <dataValidation sqref="I6:I10" showDropDown="0" showInputMessage="0" showErrorMessage="0" allowBlank="0" errorTitle="Cost score" error="Enter 0–15" promptTitle="Cost of Ownership (max 15)" prompt="Score 0–15" type="whole" operator="between">
      <formula1>0</formula1>
      <formula2>15</formula2>
    </dataValidation>
    <dataValidation sqref="J6:J10" showDropDown="0" showInputMessage="0" showErrorMessage="0" allowBlank="0" errorTitle="Resale score" error="Enter 0–10" promptTitle="Resale / Flexibility (max 10)" prompt="Score 0–10" type="whole" operator="between">
      <formula1>0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C8C8"/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5" customWidth="1" min="3" max="3"/>
  </cols>
  <sheetData>
    <row r="1" ht="36" customHeight="1">
      <c r="A1" s="30" t="inlineStr">
        <is>
          <t>3xploreWithUs  ·  Scoring Guide</t>
        </is>
      </c>
    </row>
    <row r="2" ht="20" customHeight="1">
      <c r="A2" s="2" t="inlineStr">
        <is>
          <t>Use these criteria to score each vehicle dimension consistently. Always score relative to your specific mission.</t>
        </is>
      </c>
    </row>
    <row r="3" ht="5" customHeight="1">
      <c r="A3" s="3" t="n"/>
    </row>
    <row r="4" ht="28" customHeight="1">
      <c r="A4" s="55" t="inlineStr">
        <is>
          <t>Dimension</t>
        </is>
      </c>
      <c r="B4" s="55" t="inlineStr">
        <is>
          <t>Max Points</t>
        </is>
      </c>
      <c r="C4" s="55" t="inlineStr">
        <is>
          <t>What to Assess &amp; How to Score</t>
        </is>
      </c>
    </row>
    <row r="5" ht="28" customHeight="1">
      <c r="A5" s="56" t="inlineStr">
        <is>
          <t>Capability</t>
        </is>
      </c>
      <c r="B5" s="57" t="inlineStr">
        <is>
          <t>/ 30 pts</t>
        </is>
      </c>
      <c r="C5" s="58" t="inlineStr"/>
    </row>
    <row r="6" ht="34" customHeight="1">
      <c r="A6" s="52" t="inlineStr">
        <is>
          <t>25–30 pts</t>
        </is>
      </c>
      <c r="B6" s="59" t="n"/>
      <c r="C6" s="12" t="inlineStr">
        <is>
          <t>Portal axles, excellent ground clearance (300 mm+), strong 4WD, high payload, purpose-built for serious off-road.</t>
        </is>
      </c>
    </row>
    <row r="7" ht="34" customHeight="1">
      <c r="A7" s="60" t="inlineStr">
        <is>
          <t>15–24 pts</t>
        </is>
      </c>
      <c r="B7" s="61" t="n"/>
      <c r="C7" s="5" t="inlineStr">
        <is>
          <t>Good all-round off-road ability — capable of most terrain with the right tyres and setup.</t>
        </is>
      </c>
    </row>
    <row r="8" ht="34" customHeight="1">
      <c r="A8" s="52" t="inlineStr">
        <is>
          <t>5–14 pts</t>
        </is>
      </c>
      <c r="B8" s="59" t="n"/>
      <c r="C8" s="12" t="inlineStr">
        <is>
          <t>Light off-road, mainly gravel and easy tracks. Limited capability in mud, snow, or sand.</t>
        </is>
      </c>
    </row>
    <row r="9" ht="34" customHeight="1">
      <c r="A9" s="60" t="inlineStr">
        <is>
          <t>0–4 pts</t>
        </is>
      </c>
      <c r="B9" s="61" t="n"/>
      <c r="C9" s="5" t="inlineStr">
        <is>
          <t>2WD or very limited clearance. Pavement and light gravel only.</t>
        </is>
      </c>
    </row>
    <row r="10" ht="6" customHeight="1">
      <c r="A10" s="62" t="n"/>
    </row>
    <row r="11" ht="28" customHeight="1">
      <c r="A11" s="56" t="inlineStr">
        <is>
          <t>Livability</t>
        </is>
      </c>
      <c r="B11" s="57" t="inlineStr">
        <is>
          <t>/ 25 pts</t>
        </is>
      </c>
      <c r="C11" s="58" t="inlineStr"/>
    </row>
    <row r="12" ht="34" customHeight="1">
      <c r="A12" s="52" t="inlineStr">
        <is>
          <t>21–25 pts</t>
        </is>
      </c>
      <c r="B12" s="59" t="n"/>
      <c r="C12" s="12" t="inlineStr">
        <is>
          <t>Full standing room, proper bed, efficient kitchen, excellent insulation, good storage for 2+ people full-time.</t>
        </is>
      </c>
    </row>
    <row r="13" ht="34" customHeight="1">
      <c r="A13" s="60" t="inlineStr">
        <is>
          <t>13–20 pts</t>
        </is>
      </c>
      <c r="B13" s="61" t="n"/>
      <c r="C13" s="5" t="inlineStr">
        <is>
          <t>Comfortable for extended trips. Some compromises in space, insulation, or storage.</t>
        </is>
      </c>
    </row>
    <row r="14" ht="34" customHeight="1">
      <c r="A14" s="52" t="inlineStr">
        <is>
          <t>5–12 pts</t>
        </is>
      </c>
      <c r="B14" s="59" t="n"/>
      <c r="C14" s="12" t="inlineStr">
        <is>
          <t>Workable for weeks at a time. Limited space or comfort for long-term use.</t>
        </is>
      </c>
    </row>
    <row r="15" ht="34" customHeight="1">
      <c r="A15" s="60" t="inlineStr">
        <is>
          <t>0–4 pts</t>
        </is>
      </c>
      <c r="B15" s="61" t="n"/>
      <c r="C15" s="5" t="inlineStr">
        <is>
          <t>Tight, basic setup. Fine for weekends; not for full-time living.</t>
        </is>
      </c>
    </row>
    <row r="16" ht="6" customHeight="1">
      <c r="A16" s="62" t="n"/>
    </row>
    <row r="17" ht="28" customHeight="1">
      <c r="A17" s="56" t="inlineStr">
        <is>
          <t>Reliability &amp; Maintenance</t>
        </is>
      </c>
      <c r="B17" s="57" t="inlineStr">
        <is>
          <t>/ 20 pts</t>
        </is>
      </c>
      <c r="C17" s="58" t="inlineStr"/>
    </row>
    <row r="18" ht="34" customHeight="1">
      <c r="A18" s="52" t="inlineStr">
        <is>
          <t>17–20 pts</t>
        </is>
      </c>
      <c r="B18" s="59" t="n"/>
      <c r="C18" s="12" t="inlineStr">
        <is>
          <t>Proven engine with global parts supply. Simple enough to self-service in remote areas. Strong community.</t>
        </is>
      </c>
    </row>
    <row r="19" ht="34" customHeight="1">
      <c r="A19" s="60" t="inlineStr">
        <is>
          <t>10–16 pts</t>
        </is>
      </c>
      <c r="B19" s="61" t="n"/>
      <c r="C19" s="5" t="inlineStr">
        <is>
          <t>Reliable platform but some specialist knowledge needed. Parts available with effort.</t>
        </is>
      </c>
    </row>
    <row r="20" ht="34" customHeight="1">
      <c r="A20" s="52" t="inlineStr">
        <is>
          <t>4–9 pts</t>
        </is>
      </c>
      <c r="B20" s="59" t="n"/>
      <c r="C20" s="12" t="inlineStr">
        <is>
          <t>Some reliability concerns or parts can be hard to source outside home region.</t>
        </is>
      </c>
    </row>
    <row r="21" ht="34" customHeight="1">
      <c r="A21" s="60" t="inlineStr">
        <is>
          <t>0–3 pts</t>
        </is>
      </c>
      <c r="B21" s="61" t="n"/>
      <c r="C21" s="5" t="inlineStr">
        <is>
          <t>High failure rate, complex electronics, or very limited parts availability outside dealer network.</t>
        </is>
      </c>
    </row>
    <row r="22" ht="6" customHeight="1">
      <c r="A22" s="62" t="n"/>
    </row>
    <row r="23" ht="28" customHeight="1">
      <c r="A23" s="56" t="inlineStr">
        <is>
          <t>Cost of Ownership</t>
        </is>
      </c>
      <c r="B23" s="57" t="inlineStr">
        <is>
          <t>/ 15 pts</t>
        </is>
      </c>
      <c r="C23" s="58" t="inlineStr"/>
    </row>
    <row r="24" ht="34" customHeight="1">
      <c r="A24" s="52" t="inlineStr">
        <is>
          <t>13–15 pts</t>
        </is>
      </c>
      <c r="B24" s="59" t="n"/>
      <c r="C24" s="12" t="inlineStr">
        <is>
          <t>Under 12 L/100km, affordable insurance &amp; registration, low annual maintenance costs.</t>
        </is>
      </c>
    </row>
    <row r="25" ht="34" customHeight="1">
      <c r="A25" s="60" t="inlineStr">
        <is>
          <t>8–12 pts</t>
        </is>
      </c>
      <c r="B25" s="61" t="n"/>
      <c r="C25" s="5" t="inlineStr">
        <is>
          <t>Moderate running costs. 12–18 L/100km typical. Manageable ongoing spend.</t>
        </is>
      </c>
    </row>
    <row r="26" ht="34" customHeight="1">
      <c r="A26" s="52" t="inlineStr">
        <is>
          <t>3–7 pts</t>
        </is>
      </c>
      <c r="B26" s="59" t="n"/>
      <c r="C26" s="12" t="inlineStr">
        <is>
          <t>Higher fuel use (18–25 L/100km) or significant ongoing costs. Plan carefully.</t>
        </is>
      </c>
    </row>
    <row r="27" ht="34" customHeight="1">
      <c r="A27" s="60" t="inlineStr">
        <is>
          <t>0–2 pts</t>
        </is>
      </c>
      <c r="B27" s="61" t="n"/>
      <c r="C27" s="5" t="inlineStr">
        <is>
          <t>High running costs that will strain a long-term travel budget significantly.</t>
        </is>
      </c>
    </row>
    <row r="28" ht="6" customHeight="1">
      <c r="A28" s="62" t="n"/>
    </row>
    <row r="29" ht="28" customHeight="1">
      <c r="A29" s="56" t="inlineStr">
        <is>
          <t>Resale / Flexibility</t>
        </is>
      </c>
      <c r="B29" s="57" t="inlineStr">
        <is>
          <t>/ 10 pts</t>
        </is>
      </c>
      <c r="C29" s="58" t="inlineStr"/>
    </row>
    <row r="30" ht="34" customHeight="1">
      <c r="A30" s="52" t="inlineStr">
        <is>
          <t>8–10 pts</t>
        </is>
      </c>
      <c r="B30" s="59" t="n"/>
      <c r="C30" s="12" t="inlineStr">
        <is>
          <t>Strong resale market, easy to register in most countries, adaptable to different missions.</t>
        </is>
      </c>
    </row>
    <row r="31" ht="34" customHeight="1">
      <c r="A31" s="60" t="inlineStr">
        <is>
          <t>5–7 pts</t>
        </is>
      </c>
      <c r="B31" s="61" t="n"/>
      <c r="C31" s="5" t="inlineStr">
        <is>
          <t>Reasonable resale. Some buyer market limitations or registration complexity.</t>
        </is>
      </c>
    </row>
    <row r="32" ht="34" customHeight="1">
      <c r="A32" s="52" t="inlineStr">
        <is>
          <t>2–4 pts</t>
        </is>
      </c>
      <c r="B32" s="59" t="n"/>
      <c r="C32" s="12" t="inlineStr">
        <is>
          <t>Niche market. Could sit unsold for a while or require significant price compromise.</t>
        </is>
      </c>
    </row>
    <row r="33" ht="34" customHeight="1">
      <c r="A33" s="60" t="inlineStr">
        <is>
          <t>0–1 pts</t>
        </is>
      </c>
      <c r="B33" s="61" t="n"/>
      <c r="C33" s="5" t="inlineStr">
        <is>
          <t>Very hard to sell. Specialist market only. Consider this locked-in capital.</t>
        </is>
      </c>
    </row>
    <row r="34" ht="6" customHeight="1">
      <c r="A34" s="62" t="n"/>
    </row>
    <row r="35" ht="40" customHeight="1">
      <c r="A35" s="28" t="inlineStr">
        <is>
          <t>⚑  Remember: these scores only mean something when applied to YOUR mission. A Troopie scores 82 as a general benchmark but might score 91 for a solo couple doing moderate off-road in Europe, or 65 for a family of four heading to Siberia.</t>
        </is>
      </c>
    </row>
    <row r="37">
      <c r="A37" s="54" t="inlineStr">
        <is>
          <t>© 2026 3xploreWithUs — www.3xplorewithus.com</t>
        </is>
      </c>
    </row>
  </sheetData>
  <mergeCells count="15">
    <mergeCell ref="A10:C10"/>
    <mergeCell ref="C23"/>
    <mergeCell ref="A28:C28"/>
    <mergeCell ref="A1:C1"/>
    <mergeCell ref="A16:C16"/>
    <mergeCell ref="C17"/>
    <mergeCell ref="A37:C37"/>
    <mergeCell ref="C29"/>
    <mergeCell ref="A22:C22"/>
    <mergeCell ref="C11"/>
    <mergeCell ref="A3:C3"/>
    <mergeCell ref="A34:C34"/>
    <mergeCell ref="A35:C35"/>
    <mergeCell ref="C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2026-05-07T08:43:56Z</dcterms:created>
  <dcterms:modified xmlns:dcterms="http://purl.org/dc/terms/" xmlns:xsi="http://www.w3.org/2001/XMLSchema-instance" xsi:type="dcterms:W3CDTF">2026-05-07T08:43:56Z</dcterms:modified>
</cp:coreProperties>
</file>